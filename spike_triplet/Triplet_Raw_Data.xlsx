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ndcn1400_ox_ac_uk/Documents/Longterm Effects Project/STDP/Triplets_3Q_Paper/"/>
    </mc:Choice>
  </mc:AlternateContent>
  <xr:revisionPtr revIDLastSave="119" documentId="8_{1157163E-A8C2-4CD5-8CFA-C2D67EDD58A2}" xr6:coauthVersionLast="47" xr6:coauthVersionMax="47" xr10:uidLastSave="{AED38D90-B584-45BE-900B-7CB66213D319}"/>
  <bookViews>
    <workbookView xWindow="-78" yWindow="0" windowWidth="10524" windowHeight="12318" xr2:uid="{1D8906EB-5879-44EC-A09A-06BF1789961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8" i="1" l="1"/>
  <c r="I18" i="1"/>
  <c r="X5" i="2"/>
  <c r="X6" i="2"/>
  <c r="X7" i="2"/>
  <c r="X8" i="2"/>
  <c r="X9" i="2"/>
  <c r="X10" i="2"/>
  <c r="X11" i="2"/>
  <c r="X4" i="2"/>
  <c r="R47" i="2"/>
  <c r="R46" i="2"/>
  <c r="O46" i="2"/>
  <c r="L5" i="2"/>
  <c r="L6" i="2"/>
  <c r="L7" i="2"/>
  <c r="L8" i="2"/>
  <c r="L9" i="2"/>
  <c r="L10" i="2"/>
  <c r="L11" i="2"/>
  <c r="L4" i="2"/>
  <c r="F47" i="2"/>
  <c r="F46" i="2"/>
  <c r="C46" i="2"/>
  <c r="C18" i="1"/>
  <c r="E18" i="1"/>
  <c r="G18" i="1"/>
  <c r="K18" i="1"/>
  <c r="M18" i="1"/>
  <c r="A18" i="1"/>
</calcChain>
</file>

<file path=xl/sharedStrings.xml><?xml version="1.0" encoding="utf-8"?>
<sst xmlns="http://schemas.openxmlformats.org/spreadsheetml/2006/main" count="38" uniqueCount="11">
  <si>
    <t>OR</t>
  </si>
  <si>
    <t>x</t>
  </si>
  <si>
    <t>y</t>
  </si>
  <si>
    <t>RO</t>
  </si>
  <si>
    <t>ORO-10</t>
  </si>
  <si>
    <t>ORO-5</t>
  </si>
  <si>
    <t>ROR-5</t>
  </si>
  <si>
    <t>ROR-10</t>
  </si>
  <si>
    <t>ORO-5+15</t>
  </si>
  <si>
    <t>ROR+5-15</t>
  </si>
  <si>
    <t>SEM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</si>
</sst>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5" x14ac:knownFonts="1">
    <font>
      <sz val="11"/>
      <color theme="1"/>
      <name val="Aptos Narrow"/>
      <family val="2"/>
      <scheme val="minor"/>
    </font>
    <font>
      <sz val="6"/>
      <color rgb="FF2C2C2C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6"/>
      <color rgb="FF2C2C2C"/>
      <name val="Aptos Narrow"/>
      <family val="2"/>
      <scheme val="minor"/>
    </font>
    <font>
      <sz val="6"/>
      <color rgb="FF2C2C2C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left" vertical="center" wrapText="1" indent="1"/>
    </xf>
    <xf numFmtId="0" fontId="4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54</xdr:row>
      <xdr:rowOff>0</xdr:rowOff>
    </xdr:from>
    <xdr:to>
      <xdr:col>4</xdr:col>
      <xdr:colOff>304800</xdr:colOff>
      <xdr:row>55</xdr:row>
      <xdr:rowOff>120650</xdr:rowOff>
    </xdr:to>
    <xdr:sp macro="" textlink="">
      <xdr:nvSpPr>
        <xdr:cNvPr id="1025" name="preview-image" descr="preview-image">
          <a:extLst>
            <a:ext uri="{FF2B5EF4-FFF2-40B4-BE49-F238E27FC236}">
              <a16:creationId xmlns:a16="http://schemas.microsoft.com/office/drawing/2014/main" id="{49D1C3B8-E725-3AD9-A00B-5CC89B7AB77D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016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311150</xdr:colOff>
      <xdr:row>54</xdr:row>
      <xdr:rowOff>0</xdr:rowOff>
    </xdr:from>
    <xdr:to>
      <xdr:col>5</xdr:col>
      <xdr:colOff>6350</xdr:colOff>
      <xdr:row>55</xdr:row>
      <xdr:rowOff>120650</xdr:rowOff>
    </xdr:to>
    <xdr:sp macro="" textlink="">
      <xdr:nvSpPr>
        <xdr:cNvPr id="1026" name="preview-zoom-image" descr="preview-zoom-image">
          <a:extLst>
            <a:ext uri="{FF2B5EF4-FFF2-40B4-BE49-F238E27FC236}">
              <a16:creationId xmlns:a16="http://schemas.microsoft.com/office/drawing/2014/main" id="{086F1594-C3EC-4763-8E1E-7F188C2D113F}"/>
            </a:ext>
          </a:extLst>
        </xdr:cNvPr>
        <xdr:cNvSpPr>
          <a:spLocks noChangeAspect="1" noChangeArrowheads="1"/>
        </xdr:cNvSpPr>
      </xdr:nvSpPr>
      <xdr:spPr bwMode="auto">
        <a:xfrm>
          <a:off x="2749550" y="1016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56</xdr:row>
      <xdr:rowOff>0</xdr:rowOff>
    </xdr:from>
    <xdr:to>
      <xdr:col>4</xdr:col>
      <xdr:colOff>304800</xdr:colOff>
      <xdr:row>57</xdr:row>
      <xdr:rowOff>120650</xdr:rowOff>
    </xdr:to>
    <xdr:sp macro="" textlink="">
      <xdr:nvSpPr>
        <xdr:cNvPr id="1027" name="preview-image" descr="preview-image">
          <a:extLst>
            <a:ext uri="{FF2B5EF4-FFF2-40B4-BE49-F238E27FC236}">
              <a16:creationId xmlns:a16="http://schemas.microsoft.com/office/drawing/2014/main" id="{E3876EDA-778A-78DD-BCBD-21A83B4B1740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053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311150</xdr:colOff>
      <xdr:row>56</xdr:row>
      <xdr:rowOff>0</xdr:rowOff>
    </xdr:from>
    <xdr:to>
      <xdr:col>5</xdr:col>
      <xdr:colOff>6350</xdr:colOff>
      <xdr:row>57</xdr:row>
      <xdr:rowOff>120650</xdr:rowOff>
    </xdr:to>
    <xdr:sp macro="" textlink="">
      <xdr:nvSpPr>
        <xdr:cNvPr id="1028" name="preview-zoom-image" descr="preview-zoom-image">
          <a:extLst>
            <a:ext uri="{FF2B5EF4-FFF2-40B4-BE49-F238E27FC236}">
              <a16:creationId xmlns:a16="http://schemas.microsoft.com/office/drawing/2014/main" id="{6F39BB4F-3F9B-0E39-F68B-DC3E34CB9111}"/>
            </a:ext>
          </a:extLst>
        </xdr:cNvPr>
        <xdr:cNvSpPr>
          <a:spLocks noChangeAspect="1" noChangeArrowheads="1"/>
        </xdr:cNvSpPr>
      </xdr:nvSpPr>
      <xdr:spPr bwMode="auto">
        <a:xfrm>
          <a:off x="2749550" y="1053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48</xdr:row>
      <xdr:rowOff>0</xdr:rowOff>
    </xdr:from>
    <xdr:to>
      <xdr:col>16</xdr:col>
      <xdr:colOff>304800</xdr:colOff>
      <xdr:row>49</xdr:row>
      <xdr:rowOff>120650</xdr:rowOff>
    </xdr:to>
    <xdr:sp macro="" textlink="">
      <xdr:nvSpPr>
        <xdr:cNvPr id="1031" name="preview-image" descr="preview-image">
          <a:extLst>
            <a:ext uri="{FF2B5EF4-FFF2-40B4-BE49-F238E27FC236}">
              <a16:creationId xmlns:a16="http://schemas.microsoft.com/office/drawing/2014/main" id="{C42A1DBE-3D60-5BCD-CAEA-27222F524D9E}"/>
            </a:ext>
          </a:extLst>
        </xdr:cNvPr>
        <xdr:cNvSpPr>
          <a:spLocks noChangeAspect="1" noChangeArrowheads="1"/>
        </xdr:cNvSpPr>
      </xdr:nvSpPr>
      <xdr:spPr bwMode="auto">
        <a:xfrm>
          <a:off x="9753600" y="906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311150</xdr:colOff>
      <xdr:row>48</xdr:row>
      <xdr:rowOff>0</xdr:rowOff>
    </xdr:from>
    <xdr:to>
      <xdr:col>17</xdr:col>
      <xdr:colOff>6350</xdr:colOff>
      <xdr:row>49</xdr:row>
      <xdr:rowOff>120650</xdr:rowOff>
    </xdr:to>
    <xdr:sp macro="" textlink="">
      <xdr:nvSpPr>
        <xdr:cNvPr id="1032" name="preview-zoom-image" descr="preview-zoom-image">
          <a:extLst>
            <a:ext uri="{FF2B5EF4-FFF2-40B4-BE49-F238E27FC236}">
              <a16:creationId xmlns:a16="http://schemas.microsoft.com/office/drawing/2014/main" id="{3451A45C-E2C3-C439-13DA-D9703D51FB6C}"/>
            </a:ext>
          </a:extLst>
        </xdr:cNvPr>
        <xdr:cNvSpPr>
          <a:spLocks noChangeAspect="1" noChangeArrowheads="1"/>
        </xdr:cNvSpPr>
      </xdr:nvSpPr>
      <xdr:spPr bwMode="auto">
        <a:xfrm>
          <a:off x="10064750" y="906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D18DE-F798-4867-B869-CCED667E8EBC}">
  <dimension ref="A1:P18"/>
  <sheetViews>
    <sheetView tabSelected="1" zoomScale="58" zoomScaleNormal="58" workbookViewId="0">
      <selection activeCell="I23" sqref="I23"/>
    </sheetView>
  </sheetViews>
  <sheetFormatPr defaultRowHeight="14.4" x14ac:dyDescent="0.55000000000000004"/>
  <sheetData>
    <row r="1" spans="1:16" x14ac:dyDescent="0.55000000000000004">
      <c r="A1" s="7" t="s">
        <v>0</v>
      </c>
      <c r="B1" s="7"/>
      <c r="C1" s="7" t="s">
        <v>3</v>
      </c>
      <c r="D1" s="7"/>
      <c r="E1" s="7" t="s">
        <v>4</v>
      </c>
      <c r="F1" s="7"/>
      <c r="G1" s="7" t="s">
        <v>5</v>
      </c>
      <c r="H1" s="7"/>
      <c r="I1" s="7" t="s">
        <v>8</v>
      </c>
      <c r="J1" s="7"/>
      <c r="K1" s="7" t="s">
        <v>7</v>
      </c>
      <c r="L1" s="7"/>
      <c r="M1" s="7" t="s">
        <v>6</v>
      </c>
      <c r="N1" s="7"/>
      <c r="O1" s="7" t="s">
        <v>9</v>
      </c>
      <c r="P1" s="7"/>
    </row>
    <row r="2" spans="1:16" x14ac:dyDescent="0.55000000000000004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</row>
    <row r="3" spans="1:16" x14ac:dyDescent="0.55000000000000004">
      <c r="A3" s="8">
        <v>0.66169907106343395</v>
      </c>
      <c r="B3" s="8">
        <v>0.16602691052610299</v>
      </c>
      <c r="C3" s="8">
        <v>1.0679639722816301</v>
      </c>
      <c r="D3" s="8">
        <v>8.3493272368474203E-2</v>
      </c>
      <c r="E3" s="8">
        <v>0.98111062377612801</v>
      </c>
      <c r="F3" s="8">
        <v>0.124760179309787</v>
      </c>
      <c r="G3" s="8">
        <v>1.0390460204801699</v>
      </c>
      <c r="H3" s="8">
        <v>0.142994283665834</v>
      </c>
      <c r="I3" s="8">
        <v>0.99</v>
      </c>
      <c r="J3" s="8">
        <v>0.33</v>
      </c>
      <c r="K3" s="8">
        <v>0.85723781525187703</v>
      </c>
      <c r="L3" s="8">
        <v>8.1574003946783394E-2</v>
      </c>
      <c r="M3" s="8">
        <v>0.82354058549778497</v>
      </c>
      <c r="N3" s="8">
        <v>0.16410755424191301</v>
      </c>
      <c r="O3" s="8">
        <v>1.0900000000000001</v>
      </c>
      <c r="P3" s="8">
        <v>0.33</v>
      </c>
    </row>
    <row r="4" spans="1:16" x14ac:dyDescent="0.55000000000000004">
      <c r="A4" s="8">
        <v>0.76380636391895695</v>
      </c>
      <c r="B4" s="8">
        <v>0.33397317733639498</v>
      </c>
      <c r="C4" s="8">
        <v>1.086473702291</v>
      </c>
      <c r="D4" s="8">
        <v>0.16698663259944699</v>
      </c>
      <c r="E4" s="8">
        <v>1.0712862025462799</v>
      </c>
      <c r="F4" s="8">
        <v>0.249520182894577</v>
      </c>
      <c r="G4" s="8">
        <v>1.1524774718130899</v>
      </c>
      <c r="H4" s="8">
        <v>0.285028845258324</v>
      </c>
      <c r="I4" s="8">
        <v>1.1299999999999999</v>
      </c>
      <c r="J4" s="8">
        <v>0.67</v>
      </c>
      <c r="K4" s="8">
        <v>0.882392005790547</v>
      </c>
      <c r="L4" s="8">
        <v>0.16410755424191301</v>
      </c>
      <c r="M4" s="8">
        <v>0.92605601324199305</v>
      </c>
      <c r="N4" s="8">
        <v>0.33301345526305098</v>
      </c>
      <c r="O4" s="8">
        <v>1.1599999999999999</v>
      </c>
      <c r="P4" s="8">
        <v>0.67</v>
      </c>
    </row>
    <row r="5" spans="1:16" x14ac:dyDescent="0.55000000000000004">
      <c r="A5" s="8">
        <v>0.78082582393769895</v>
      </c>
      <c r="B5" s="8">
        <v>0.5</v>
      </c>
      <c r="C5" s="8">
        <v>1.1177978607684</v>
      </c>
      <c r="D5" s="8">
        <v>0.249520182894577</v>
      </c>
      <c r="E5" s="8">
        <v>1.1856668128671599</v>
      </c>
      <c r="F5" s="8">
        <v>0.37715935269939899</v>
      </c>
      <c r="G5" s="8">
        <v>1.2796392882993499</v>
      </c>
      <c r="H5" s="8">
        <v>0.428982763135004</v>
      </c>
      <c r="I5" s="8">
        <v>1.29</v>
      </c>
      <c r="J5" s="8">
        <v>1</v>
      </c>
      <c r="K5" s="8">
        <v>0.89852875142662803</v>
      </c>
      <c r="L5" s="8">
        <v>0.24760082661038699</v>
      </c>
      <c r="M5" s="8">
        <v>0.99534887762948998</v>
      </c>
      <c r="N5" s="8">
        <v>0.5</v>
      </c>
      <c r="O5" s="8">
        <v>1.27</v>
      </c>
      <c r="P5" s="8">
        <v>1</v>
      </c>
    </row>
    <row r="6" spans="1:16" x14ac:dyDescent="0.55000000000000004">
      <c r="A6" s="8">
        <v>0.81259133960642604</v>
      </c>
      <c r="B6" s="8">
        <v>0.66410746637941398</v>
      </c>
      <c r="C6" s="8">
        <v>1.17902235233786</v>
      </c>
      <c r="D6" s="8">
        <v>0.33397317733639498</v>
      </c>
      <c r="E6" s="8">
        <v>1.28201235957604</v>
      </c>
      <c r="F6" s="8">
        <v>0.5</v>
      </c>
      <c r="G6" s="8">
        <v>1.2881822406113601</v>
      </c>
      <c r="H6" s="8">
        <v>0.571976958938339</v>
      </c>
      <c r="I6" s="8"/>
      <c r="J6" s="8"/>
      <c r="K6" s="8">
        <v>0.93981968760137802</v>
      </c>
      <c r="L6" s="8">
        <v>0.33493289940973903</v>
      </c>
      <c r="M6" s="8">
        <v>1.0499288217662399</v>
      </c>
      <c r="N6" s="8">
        <v>0.66410746637941398</v>
      </c>
      <c r="O6" s="8"/>
      <c r="P6" s="8"/>
    </row>
    <row r="7" spans="1:16" x14ac:dyDescent="0.55000000000000004">
      <c r="A7" s="8">
        <v>0.84154247025883</v>
      </c>
      <c r="B7" s="8">
        <v>0.83397308947389603</v>
      </c>
      <c r="C7" s="8">
        <v>1.17949693183183</v>
      </c>
      <c r="D7" s="8">
        <v>0.41842617177821301</v>
      </c>
      <c r="E7" s="8">
        <v>1.3062173911267601</v>
      </c>
      <c r="F7" s="8">
        <v>0.625719813520632</v>
      </c>
      <c r="G7" s="8">
        <v>1.32567636702749</v>
      </c>
      <c r="H7" s="8">
        <v>0.71401152053082995</v>
      </c>
      <c r="I7" s="8"/>
      <c r="J7" s="8"/>
      <c r="K7" s="8">
        <v>0.94598956863670003</v>
      </c>
      <c r="L7" s="8">
        <v>0.41458737134733598</v>
      </c>
      <c r="M7" s="8">
        <v>1.07650692459365</v>
      </c>
      <c r="N7" s="8">
        <v>0.83109401111636305</v>
      </c>
      <c r="O7" s="8"/>
      <c r="P7" s="8"/>
    </row>
    <row r="8" spans="1:16" x14ac:dyDescent="0.55000000000000004">
      <c r="A8" s="8">
        <v>1.01243478225352</v>
      </c>
      <c r="B8" s="8">
        <v>1</v>
      </c>
      <c r="C8" s="8">
        <v>1.21177033620059</v>
      </c>
      <c r="D8" s="8">
        <v>0.5</v>
      </c>
      <c r="E8" s="8">
        <v>1.3498481762755601</v>
      </c>
      <c r="F8" s="8">
        <v>0.75143953917876605</v>
      </c>
      <c r="G8" s="8">
        <v>1.38740866039357</v>
      </c>
      <c r="H8" s="8">
        <v>0.85988479469169898</v>
      </c>
      <c r="I8" s="8"/>
      <c r="J8" s="8"/>
      <c r="K8" s="8">
        <v>1.0072140602061499</v>
      </c>
      <c r="L8" s="8">
        <v>0.5</v>
      </c>
      <c r="M8" s="8">
        <v>1.1106787338417199</v>
      </c>
      <c r="N8" s="8">
        <v>1</v>
      </c>
      <c r="O8" s="8"/>
      <c r="P8" s="8"/>
    </row>
    <row r="9" spans="1:16" x14ac:dyDescent="0.55000000000000004">
      <c r="A9" s="8"/>
      <c r="B9" s="8"/>
      <c r="C9" s="8">
        <v>1.2582819075192999</v>
      </c>
      <c r="D9" s="8">
        <v>0.58253363815762804</v>
      </c>
      <c r="E9" s="8">
        <v>1.4025629378356399</v>
      </c>
      <c r="F9" s="8">
        <v>0.87523990855271105</v>
      </c>
      <c r="G9" s="8">
        <v>1.43803944554237</v>
      </c>
      <c r="H9" s="8">
        <v>1.00095967814209</v>
      </c>
      <c r="I9" s="8"/>
      <c r="J9" s="8"/>
      <c r="K9" s="8">
        <v>1.0190792427828199</v>
      </c>
      <c r="L9" s="8">
        <v>0.58253363815762804</v>
      </c>
      <c r="M9" s="8"/>
      <c r="N9" s="8"/>
      <c r="O9" s="8"/>
      <c r="P9" s="8"/>
    </row>
    <row r="10" spans="1:16" x14ac:dyDescent="0.55000000000000004">
      <c r="A10" s="8"/>
      <c r="B10" s="8"/>
      <c r="C10" s="8">
        <v>1.2672995262286999</v>
      </c>
      <c r="D10" s="8">
        <v>0.66794626681029201</v>
      </c>
      <c r="E10" s="8">
        <v>1.42822501707434</v>
      </c>
      <c r="F10" s="8">
        <v>1</v>
      </c>
      <c r="G10" s="8"/>
      <c r="H10" s="8"/>
      <c r="I10" s="8"/>
      <c r="J10" s="8"/>
      <c r="K10" s="8">
        <v>1.0779307499789901</v>
      </c>
      <c r="L10" s="8">
        <v>0.66410746637941398</v>
      </c>
      <c r="M10" s="8"/>
      <c r="N10" s="8"/>
      <c r="O10" s="8"/>
      <c r="P10" s="8"/>
    </row>
    <row r="11" spans="1:16" x14ac:dyDescent="0.55000000000000004">
      <c r="A11" s="8"/>
      <c r="B11" s="8"/>
      <c r="C11" s="8">
        <v>1.2767916375286701</v>
      </c>
      <c r="D11" s="8">
        <v>0.75239926125210999</v>
      </c>
      <c r="E11" s="8"/>
      <c r="F11" s="8"/>
      <c r="G11" s="8"/>
      <c r="H11" s="8"/>
      <c r="I11" s="8"/>
      <c r="J11" s="8"/>
      <c r="K11" s="8">
        <v>1.1097294879503601</v>
      </c>
      <c r="L11" s="8">
        <v>0.74856046082123295</v>
      </c>
      <c r="M11" s="8"/>
      <c r="N11" s="8"/>
      <c r="O11" s="8"/>
      <c r="P11" s="8"/>
    </row>
    <row r="12" spans="1:16" x14ac:dyDescent="0.55000000000000004">
      <c r="A12" s="8"/>
      <c r="B12" s="8"/>
      <c r="C12" s="8">
        <v>1.3009966690793899</v>
      </c>
      <c r="D12" s="8">
        <v>0.83205373318970699</v>
      </c>
      <c r="E12" s="8"/>
      <c r="F12" s="8"/>
      <c r="G12" s="8"/>
      <c r="H12" s="8"/>
      <c r="I12" s="8"/>
      <c r="J12" s="8"/>
      <c r="K12" s="8">
        <v>1.1429520513070699</v>
      </c>
      <c r="L12" s="8">
        <v>0.83205373318970699</v>
      </c>
      <c r="M12" s="8"/>
      <c r="N12" s="8"/>
      <c r="O12" s="8"/>
      <c r="P12" s="8"/>
    </row>
    <row r="13" spans="1:16" x14ac:dyDescent="0.55000000000000004">
      <c r="A13" s="8"/>
      <c r="B13" s="8"/>
      <c r="C13" s="8">
        <v>1.52016427020389</v>
      </c>
      <c r="D13" s="8">
        <v>0.91650672763152496</v>
      </c>
      <c r="E13" s="8"/>
      <c r="F13" s="8"/>
      <c r="G13" s="8"/>
      <c r="H13" s="8"/>
      <c r="I13" s="8"/>
      <c r="J13" s="8"/>
      <c r="K13" s="8">
        <v>1.14864735284841</v>
      </c>
      <c r="L13" s="8">
        <v>0.91554700555818103</v>
      </c>
      <c r="M13" s="8"/>
      <c r="N13" s="8"/>
      <c r="O13" s="8"/>
      <c r="P13" s="8"/>
    </row>
    <row r="14" spans="1:16" x14ac:dyDescent="0.55000000000000004">
      <c r="A14" s="8"/>
      <c r="B14" s="8"/>
      <c r="C14" s="8">
        <v>1.56084580946133</v>
      </c>
      <c r="D14" s="8">
        <v>1</v>
      </c>
      <c r="E14" s="8"/>
      <c r="F14" s="8"/>
      <c r="G14" s="8"/>
      <c r="H14" s="8"/>
      <c r="I14" s="8"/>
      <c r="J14" s="8"/>
      <c r="K14" s="8">
        <v>1.2682486852166599</v>
      </c>
      <c r="L14" s="8">
        <v>0.99904027792665495</v>
      </c>
      <c r="M14" s="8"/>
      <c r="N14" s="8"/>
      <c r="O14" s="8"/>
      <c r="P14" s="8"/>
    </row>
    <row r="18" spans="1:15" x14ac:dyDescent="0.55000000000000004">
      <c r="A18">
        <f>AVERAGE(A3:A14)</f>
        <v>0.81214997517314436</v>
      </c>
      <c r="C18">
        <f t="shared" ref="C18:O18" si="0">AVERAGE(C3:C14)</f>
        <v>1.2522420813110493</v>
      </c>
      <c r="E18">
        <f t="shared" si="0"/>
        <v>1.2508661901347384</v>
      </c>
      <c r="G18">
        <f t="shared" si="0"/>
        <v>1.2729242134524856</v>
      </c>
      <c r="I18">
        <f t="shared" si="0"/>
        <v>1.1366666666666667</v>
      </c>
      <c r="K18">
        <f t="shared" si="0"/>
        <v>1.0248141215831326</v>
      </c>
      <c r="M18">
        <f t="shared" si="0"/>
        <v>0.99700999276181301</v>
      </c>
      <c r="O18">
        <f t="shared" si="0"/>
        <v>1.1733333333333333</v>
      </c>
    </row>
  </sheetData>
  <mergeCells count="8">
    <mergeCell ref="M1:N1"/>
    <mergeCell ref="I1:J1"/>
    <mergeCell ref="O1:P1"/>
    <mergeCell ref="A1:B1"/>
    <mergeCell ref="C1:D1"/>
    <mergeCell ref="E1:F1"/>
    <mergeCell ref="G1:H1"/>
    <mergeCell ref="K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3FF76-F57C-4416-A1BE-D17CD41E5C1B}">
  <dimension ref="B2:X56"/>
  <sheetViews>
    <sheetView workbookViewId="0">
      <selection activeCell="I4" sqref="I4:I11"/>
    </sheetView>
  </sheetViews>
  <sheetFormatPr defaultRowHeight="14.4" x14ac:dyDescent="0.55000000000000004"/>
  <sheetData>
    <row r="2" spans="2:24" x14ac:dyDescent="0.55000000000000004">
      <c r="B2" s="2" t="s">
        <v>1</v>
      </c>
      <c r="C2" s="2" t="s">
        <v>2</v>
      </c>
      <c r="E2" s="2" t="s">
        <v>1</v>
      </c>
      <c r="F2" s="2" t="s">
        <v>2</v>
      </c>
      <c r="N2" t="s">
        <v>1</v>
      </c>
      <c r="O2" t="s">
        <v>2</v>
      </c>
      <c r="Q2" t="s">
        <v>1</v>
      </c>
      <c r="R2" t="s">
        <v>2</v>
      </c>
    </row>
    <row r="3" spans="2:24" x14ac:dyDescent="0.55000000000000004">
      <c r="B3" s="1">
        <v>-10.1679185480894</v>
      </c>
      <c r="C3" s="1">
        <v>281.29250662667403</v>
      </c>
      <c r="E3" s="1">
        <v>14.379142224960299</v>
      </c>
      <c r="F3" s="1">
        <v>290.476180096061</v>
      </c>
      <c r="H3" t="s">
        <v>1</v>
      </c>
      <c r="I3" t="s">
        <v>2</v>
      </c>
      <c r="L3" t="s">
        <v>10</v>
      </c>
      <c r="N3">
        <v>-9.9879618452914691</v>
      </c>
      <c r="O3">
        <v>56.177325581395301</v>
      </c>
      <c r="Q3" s="1">
        <v>16.075440327461902</v>
      </c>
      <c r="R3" s="1">
        <v>74.273255813953398</v>
      </c>
      <c r="T3" t="s">
        <v>1</v>
      </c>
      <c r="U3" t="s">
        <v>2</v>
      </c>
      <c r="X3" t="s">
        <v>10</v>
      </c>
    </row>
    <row r="4" spans="2:24" x14ac:dyDescent="0.55000000000000004">
      <c r="B4" s="1">
        <v>-9.8365000949105994</v>
      </c>
      <c r="C4" s="1">
        <v>264.62582957987797</v>
      </c>
      <c r="E4" s="1">
        <v>14.577993296867501</v>
      </c>
      <c r="F4" s="1">
        <v>303.40133978396</v>
      </c>
      <c r="H4">
        <v>15.5495096001845</v>
      </c>
      <c r="I4">
        <v>1.12372303935551</v>
      </c>
      <c r="J4">
        <v>15.5495096001845</v>
      </c>
      <c r="K4">
        <v>1.19500568905177</v>
      </c>
      <c r="L4">
        <f>K4-I4</f>
        <v>7.128264969625997E-2</v>
      </c>
      <c r="N4">
        <v>-9.5666135719641101</v>
      </c>
      <c r="O4">
        <v>54.723832773607803</v>
      </c>
      <c r="Q4" s="1">
        <v>16.416529337578499</v>
      </c>
      <c r="R4" s="1">
        <v>80.087207084478294</v>
      </c>
      <c r="T4">
        <v>15.4791655083498</v>
      </c>
      <c r="U4">
        <v>1.1404154860017</v>
      </c>
      <c r="V4">
        <v>15.458329633871999</v>
      </c>
      <c r="W4">
        <v>1.0988668426052499</v>
      </c>
      <c r="X4">
        <f>U4-W4</f>
        <v>4.1548643396450036E-2</v>
      </c>
    </row>
    <row r="5" spans="2:24" x14ac:dyDescent="0.55000000000000004">
      <c r="B5" s="1">
        <v>-9.5271768795496108</v>
      </c>
      <c r="C5" s="1">
        <v>255.442156110491</v>
      </c>
      <c r="E5" s="1">
        <v>14.9977886556822</v>
      </c>
      <c r="F5" s="1">
        <v>305.442156110491</v>
      </c>
      <c r="H5">
        <v>17.551682956210499</v>
      </c>
      <c r="I5">
        <v>1.1382519703842999</v>
      </c>
      <c r="J5">
        <v>17.5081600473085</v>
      </c>
      <c r="K5">
        <v>1.2190692401611201</v>
      </c>
      <c r="L5">
        <f t="shared" ref="L5:L11" si="0">K5-I5</f>
        <v>8.0817269776820133E-2</v>
      </c>
      <c r="N5">
        <v>-9.2656505195874299</v>
      </c>
      <c r="O5">
        <v>63.8808095177938</v>
      </c>
      <c r="Q5" s="1">
        <v>16.7977516531659</v>
      </c>
      <c r="R5" s="1">
        <v>70.784883720930196</v>
      </c>
      <c r="T5">
        <v>17.479165317614999</v>
      </c>
      <c r="U5">
        <v>1.1569404944858901</v>
      </c>
      <c r="V5">
        <v>17.458329443137199</v>
      </c>
      <c r="W5">
        <v>1.1168083248491401</v>
      </c>
      <c r="X5">
        <f t="shared" ref="X5:X11" si="1">U5-W5</f>
        <v>4.0132169636750037E-2</v>
      </c>
    </row>
    <row r="6" spans="2:24" x14ac:dyDescent="0.55000000000000004">
      <c r="B6" s="1">
        <v>-8.7980562825562298</v>
      </c>
      <c r="C6" s="1">
        <v>279.591836734693</v>
      </c>
      <c r="E6" s="1">
        <v>15.6385323470397</v>
      </c>
      <c r="F6" s="1">
        <v>311.56460509008201</v>
      </c>
      <c r="H6">
        <v>19.553860297120899</v>
      </c>
      <c r="I6">
        <v>1.17866062605653</v>
      </c>
      <c r="J6">
        <v>19.553860297120899</v>
      </c>
      <c r="K6">
        <v>1.24858116638603</v>
      </c>
      <c r="L6">
        <f t="shared" si="0"/>
        <v>6.9920540329500014E-2</v>
      </c>
      <c r="N6">
        <v>-9.02488007768609</v>
      </c>
      <c r="O6">
        <v>61.1918604651162</v>
      </c>
      <c r="Q6" s="1">
        <v>17.118777684412599</v>
      </c>
      <c r="R6" s="1">
        <v>75.726741968199207</v>
      </c>
      <c r="T6">
        <v>19.520829246441899</v>
      </c>
      <c r="U6">
        <v>1.16307837454049</v>
      </c>
      <c r="V6">
        <v>19.520829246441899</v>
      </c>
      <c r="W6">
        <v>1.1323890607195599</v>
      </c>
      <c r="X6">
        <f t="shared" si="1"/>
        <v>3.0689313820930098E-2</v>
      </c>
    </row>
    <row r="7" spans="2:24" x14ac:dyDescent="0.55000000000000004">
      <c r="B7" s="1">
        <v>-9.1073794979172202</v>
      </c>
      <c r="C7" s="1">
        <v>285.033992845184</v>
      </c>
      <c r="E7" s="1">
        <v>15.2187369882251</v>
      </c>
      <c r="F7" s="1">
        <v>357.48297243702098</v>
      </c>
      <c r="H7">
        <v>21.534272198695898</v>
      </c>
      <c r="I7">
        <v>1.1441543680995701</v>
      </c>
      <c r="J7">
        <v>21.512510744244899</v>
      </c>
      <c r="K7">
        <v>1.23496028055666</v>
      </c>
      <c r="L7">
        <f t="shared" si="0"/>
        <v>9.080591245708991E-2</v>
      </c>
      <c r="N7">
        <v>-8.2825039361793706</v>
      </c>
      <c r="O7">
        <v>56.322672200757403</v>
      </c>
      <c r="Q7" s="1">
        <v>17.399677757919299</v>
      </c>
      <c r="R7" s="1">
        <v>78.343021037966693</v>
      </c>
      <c r="T7">
        <v>21.479164936145299</v>
      </c>
      <c r="U7">
        <v>1.1810198135583501</v>
      </c>
      <c r="V7">
        <v>21.479164936145299</v>
      </c>
      <c r="W7">
        <v>1.1399433280818001</v>
      </c>
      <c r="X7">
        <f t="shared" si="1"/>
        <v>4.1076485476549962E-2</v>
      </c>
    </row>
    <row r="8" spans="2:24" x14ac:dyDescent="0.55000000000000004">
      <c r="B8" s="1">
        <v>-8.5108262821953602</v>
      </c>
      <c r="C8" s="1">
        <v>288.775510204081</v>
      </c>
      <c r="E8" s="1">
        <v>16.676978182211801</v>
      </c>
      <c r="F8" s="1">
        <v>368.70746223293997</v>
      </c>
      <c r="H8">
        <v>23.492922645819799</v>
      </c>
      <c r="I8">
        <v>1.1055618443938</v>
      </c>
      <c r="J8">
        <v>23.536449539606298</v>
      </c>
      <c r="K8">
        <v>1.20681044291468</v>
      </c>
      <c r="L8">
        <f t="shared" si="0"/>
        <v>0.10124859852087997</v>
      </c>
      <c r="N8">
        <v>-8.6235966201614094</v>
      </c>
      <c r="O8">
        <v>50.290697674418603</v>
      </c>
      <c r="Q8" s="1">
        <v>18.061796473148</v>
      </c>
      <c r="R8" s="1">
        <v>78.706390913142698</v>
      </c>
      <c r="T8">
        <v>23.479164745410401</v>
      </c>
      <c r="U8">
        <v>1.19423984628132</v>
      </c>
      <c r="V8">
        <v>23.458328870932601</v>
      </c>
      <c r="W8">
        <v>1.1328611754134299</v>
      </c>
      <c r="X8">
        <f t="shared" si="1"/>
        <v>6.1378670867890062E-2</v>
      </c>
    </row>
    <row r="9" spans="2:24" x14ac:dyDescent="0.55000000000000004">
      <c r="B9" s="1">
        <v>-8.2015030668343805</v>
      </c>
      <c r="C9" s="1">
        <v>240.476180096061</v>
      </c>
      <c r="E9" s="1">
        <v>16.345559729032999</v>
      </c>
      <c r="F9" s="1">
        <v>336.73469387755102</v>
      </c>
      <c r="H9">
        <v>25.560388334967701</v>
      </c>
      <c r="I9">
        <v>1.14370032471604</v>
      </c>
      <c r="J9">
        <v>25.495099986730299</v>
      </c>
      <c r="K9">
        <v>1.26538025198098</v>
      </c>
      <c r="L9">
        <f t="shared" si="0"/>
        <v>0.12167992726494004</v>
      </c>
      <c r="N9">
        <v>-7.6605148525560196</v>
      </c>
      <c r="O9">
        <v>48.546511627906902</v>
      </c>
      <c r="Q9" s="1">
        <v>18.723915188376701</v>
      </c>
      <c r="R9" s="1">
        <v>79.215114061222494</v>
      </c>
      <c r="T9">
        <v>25.520828674237301</v>
      </c>
      <c r="U9">
        <v>1.1885741241466199</v>
      </c>
      <c r="V9">
        <v>25.458328680197798</v>
      </c>
      <c r="W9">
        <v>1.1276676111986299</v>
      </c>
      <c r="X9">
        <f t="shared" si="1"/>
        <v>6.0906512947989988E-2</v>
      </c>
    </row>
    <row r="10" spans="2:24" x14ac:dyDescent="0.55000000000000004">
      <c r="B10" s="1">
        <v>-7.7817056852019801</v>
      </c>
      <c r="C10" s="1">
        <v>234.35373111646999</v>
      </c>
      <c r="E10" s="1">
        <v>15.992044015218699</v>
      </c>
      <c r="F10" s="1">
        <v>289.79591836734602</v>
      </c>
      <c r="H10">
        <v>27.540800236542701</v>
      </c>
      <c r="I10">
        <v>1.1459705000660401</v>
      </c>
      <c r="J10">
        <v>27.540800236542701</v>
      </c>
      <c r="K10">
        <v>1.25720772048336</v>
      </c>
      <c r="L10">
        <f t="shared" si="0"/>
        <v>0.11123722041731998</v>
      </c>
      <c r="N10">
        <v>-6.2560199958206102</v>
      </c>
      <c r="O10">
        <v>54.723832773607803</v>
      </c>
      <c r="Q10" s="1">
        <v>17.700640810295901</v>
      </c>
      <c r="R10" s="1">
        <v>75.581395348837205</v>
      </c>
      <c r="T10">
        <v>27.499996423721601</v>
      </c>
      <c r="U10">
        <v>1.1966005494287699</v>
      </c>
      <c r="V10">
        <v>27.541664357980299</v>
      </c>
      <c r="W10">
        <v>1.1352219217869</v>
      </c>
      <c r="X10">
        <f t="shared" si="1"/>
        <v>6.1378627641869965E-2</v>
      </c>
    </row>
    <row r="11" spans="2:24" x14ac:dyDescent="0.55000000000000004">
      <c r="B11" s="1">
        <v>-7.1188687788443596</v>
      </c>
      <c r="C11" s="1">
        <v>249.659853565449</v>
      </c>
      <c r="E11" s="1">
        <v>16.853731993483599</v>
      </c>
      <c r="F11" s="1">
        <v>321.08842499402101</v>
      </c>
      <c r="H11">
        <v>29.499450683666701</v>
      </c>
      <c r="I11">
        <v>1.1359818366019501</v>
      </c>
      <c r="J11">
        <v>29.542981562337701</v>
      </c>
      <c r="K11">
        <v>1.2367763917393</v>
      </c>
      <c r="L11">
        <f t="shared" si="0"/>
        <v>0.10079455513734992</v>
      </c>
      <c r="N11">
        <v>-6.7174960638206196</v>
      </c>
      <c r="O11">
        <v>55.087209302325498</v>
      </c>
      <c r="Q11" s="1">
        <v>18.362759525524599</v>
      </c>
      <c r="R11" s="1">
        <v>70.348837209302303</v>
      </c>
      <c r="T11">
        <v>29.499996232986799</v>
      </c>
      <c r="U11">
        <v>1.2013219989496899</v>
      </c>
      <c r="V11">
        <v>29.499996232986799</v>
      </c>
      <c r="W11">
        <v>1.14135975861547</v>
      </c>
      <c r="X11">
        <f t="shared" si="1"/>
        <v>5.9962240334219929E-2</v>
      </c>
    </row>
    <row r="12" spans="2:24" x14ac:dyDescent="0.55000000000000004">
      <c r="B12" s="1">
        <v>-7.5165709226589401</v>
      </c>
      <c r="C12" s="1">
        <v>256.12244897959101</v>
      </c>
      <c r="E12" s="1">
        <v>17.273531397933699</v>
      </c>
      <c r="F12" s="1">
        <v>316.32653061224403</v>
      </c>
      <c r="N12">
        <v>-6.9582665057219701</v>
      </c>
      <c r="O12">
        <v>59.011627906976699</v>
      </c>
      <c r="Q12" s="1">
        <v>19.36596725087</v>
      </c>
      <c r="R12" s="1">
        <v>70.712207084478294</v>
      </c>
    </row>
    <row r="13" spans="2:24" x14ac:dyDescent="0.55000000000000004">
      <c r="B13" s="1">
        <v>-6.8537319934836098</v>
      </c>
      <c r="C13" s="1">
        <v>259.86393519810201</v>
      </c>
      <c r="E13" s="1">
        <v>17.9363683042913</v>
      </c>
      <c r="F13" s="1">
        <v>319.04760866749001</v>
      </c>
      <c r="N13">
        <v>-7.2792943739013296</v>
      </c>
      <c r="O13">
        <v>61.555230340292198</v>
      </c>
      <c r="Q13" s="1">
        <v>19.0850708512287</v>
      </c>
      <c r="R13" s="1">
        <v>75.218018820119397</v>
      </c>
    </row>
    <row r="14" spans="2:24" x14ac:dyDescent="0.55000000000000004">
      <c r="B14" s="1">
        <v>-6.4781271103045697</v>
      </c>
      <c r="C14" s="1">
        <v>254.08163265306101</v>
      </c>
      <c r="E14" s="1">
        <v>18.311973187470301</v>
      </c>
      <c r="F14" s="1">
        <v>301.360523457429</v>
      </c>
      <c r="N14">
        <v>-7.9614779049326998</v>
      </c>
      <c r="O14">
        <v>62.427323363548098</v>
      </c>
      <c r="Q14" s="1">
        <v>19.747189566457401</v>
      </c>
      <c r="R14" s="1">
        <v>74.418602433315499</v>
      </c>
    </row>
    <row r="15" spans="2:24" x14ac:dyDescent="0.55000000000000004">
      <c r="B15" s="1">
        <v>-6.1908950871259902</v>
      </c>
      <c r="C15" s="1">
        <v>272.78909488600101</v>
      </c>
      <c r="E15" s="1">
        <v>17.604949851112501</v>
      </c>
      <c r="F15" s="1">
        <v>333.333322953204</v>
      </c>
      <c r="N15">
        <v>-5.7142865015425803</v>
      </c>
      <c r="O15">
        <v>58.2848815030829</v>
      </c>
      <c r="Q15" s="1">
        <v>20.048152618834099</v>
      </c>
      <c r="R15" s="1">
        <v>70.712207084478294</v>
      </c>
    </row>
    <row r="16" spans="2:24" x14ac:dyDescent="0.55000000000000004">
      <c r="B16" s="1">
        <v>-5.7048160376755401</v>
      </c>
      <c r="C16" s="1">
        <v>278.91154386559299</v>
      </c>
      <c r="E16" s="1">
        <v>18.974810093827902</v>
      </c>
      <c r="F16" s="1">
        <v>329.25169030014303</v>
      </c>
      <c r="N16">
        <v>-5.3130030440178997</v>
      </c>
      <c r="O16">
        <v>58.066858247269003</v>
      </c>
      <c r="Q16" s="1">
        <v>20.4895638710314</v>
      </c>
      <c r="R16" s="1">
        <v>70.930230340292297</v>
      </c>
    </row>
    <row r="17" spans="2:18" x14ac:dyDescent="0.55000000000000004">
      <c r="B17" s="1">
        <v>-5.4617744901326102</v>
      </c>
      <c r="C17" s="1">
        <v>243.19725815130701</v>
      </c>
      <c r="E17" s="1">
        <v>19.3062285470068</v>
      </c>
      <c r="F17" s="1">
        <v>342.516996422592</v>
      </c>
      <c r="N17">
        <v>-4.9919751758385402</v>
      </c>
      <c r="O17">
        <v>56.613372093023202</v>
      </c>
      <c r="Q17" s="1">
        <v>21.071426996914798</v>
      </c>
      <c r="R17" s="1">
        <v>73.473832773607796</v>
      </c>
    </row>
    <row r="18" spans="2:18" x14ac:dyDescent="0.55000000000000004">
      <c r="B18" s="1">
        <v>-5.1745465125894397</v>
      </c>
      <c r="C18" s="1">
        <v>234.35373111646999</v>
      </c>
      <c r="E18" s="1">
        <v>19.615553785185501</v>
      </c>
      <c r="F18" s="1">
        <v>361.22448979591798</v>
      </c>
      <c r="N18">
        <v>-5.9751217592466004</v>
      </c>
      <c r="O18">
        <v>49.055228122445001</v>
      </c>
      <c r="Q18" s="1">
        <v>20.710271334062799</v>
      </c>
      <c r="R18" s="1">
        <v>79.5058139534883</v>
      </c>
    </row>
    <row r="19" spans="2:18" x14ac:dyDescent="0.55000000000000004">
      <c r="B19" s="1">
        <v>-4.8431280594106401</v>
      </c>
      <c r="C19" s="1">
        <v>238.43536376953099</v>
      </c>
      <c r="E19" s="1">
        <v>18.6654889012847</v>
      </c>
      <c r="F19" s="1">
        <v>364.62582957987797</v>
      </c>
      <c r="Q19" s="1">
        <v>22.1147643538655</v>
      </c>
      <c r="R19" s="1">
        <v>72.8197630061659</v>
      </c>
    </row>
    <row r="20" spans="2:18" x14ac:dyDescent="0.55000000000000004">
      <c r="B20" s="1">
        <v>-4.48961639123171</v>
      </c>
      <c r="C20" s="1">
        <v>232.993176518654</v>
      </c>
      <c r="E20" s="1">
        <v>20.852850692264798</v>
      </c>
      <c r="F20" s="1">
        <v>379.93195202885801</v>
      </c>
      <c r="Q20" s="1">
        <v>21.773671669883498</v>
      </c>
      <c r="R20" s="1">
        <v>70.203483936398499</v>
      </c>
    </row>
    <row r="21" spans="2:18" x14ac:dyDescent="0.55000000000000004">
      <c r="B21" s="1">
        <v>-4.1140074624172502</v>
      </c>
      <c r="C21" s="1">
        <v>227.551020408163</v>
      </c>
      <c r="E21" s="1">
        <v>21.117985454807901</v>
      </c>
      <c r="F21" s="1">
        <v>352.04081632652998</v>
      </c>
      <c r="Q21" s="1">
        <v>21.3723900492915</v>
      </c>
      <c r="R21" s="1">
        <v>69.040697674418595</v>
      </c>
    </row>
    <row r="22" spans="2:18" x14ac:dyDescent="0.55000000000000004">
      <c r="B22" s="1">
        <v>-2.10340352834428</v>
      </c>
      <c r="C22" s="1">
        <v>238.09521733497999</v>
      </c>
      <c r="E22" s="1">
        <v>20.344674382178798</v>
      </c>
      <c r="F22" s="1">
        <v>344.217666314572</v>
      </c>
      <c r="Q22" s="1">
        <v>22.736753437488801</v>
      </c>
      <c r="R22" s="1">
        <v>69.840114061222494</v>
      </c>
    </row>
    <row r="23" spans="2:18" x14ac:dyDescent="0.55000000000000004">
      <c r="B23" s="1">
        <v>-3.2302262691522401</v>
      </c>
      <c r="C23" s="1">
        <v>243.53740458585699</v>
      </c>
      <c r="E23" s="1">
        <v>19.991162713999898</v>
      </c>
      <c r="F23" s="1">
        <v>293.87755102040802</v>
      </c>
      <c r="Q23" s="1">
        <v>23.439001784322901</v>
      </c>
      <c r="R23" s="1">
        <v>71.947669982910099</v>
      </c>
    </row>
    <row r="24" spans="2:18" x14ac:dyDescent="0.55000000000000004">
      <c r="B24" s="1">
        <v>-2.81042686470213</v>
      </c>
      <c r="C24" s="1">
        <v>257.48297243702098</v>
      </c>
      <c r="E24" s="1">
        <v>21.2505528360794</v>
      </c>
      <c r="F24" s="1">
        <v>312.92515968789797</v>
      </c>
      <c r="Q24" s="1">
        <v>23.037716489865499</v>
      </c>
      <c r="R24" s="1">
        <v>77.9069745263388</v>
      </c>
    </row>
    <row r="25" spans="2:18" x14ac:dyDescent="0.55000000000000004">
      <c r="B25" s="1">
        <v>-3.5174542466954</v>
      </c>
      <c r="C25" s="1">
        <v>284.01358468191899</v>
      </c>
      <c r="E25" s="1">
        <v>21.75872510053</v>
      </c>
      <c r="F25" s="1">
        <v>310.54419692681699</v>
      </c>
      <c r="Q25" s="1">
        <v>22.3956644273722</v>
      </c>
      <c r="R25" s="1">
        <v>84.011625689129403</v>
      </c>
    </row>
    <row r="26" spans="2:18" x14ac:dyDescent="0.55000000000000004">
      <c r="B26" s="1">
        <v>-4.0035332961458501</v>
      </c>
      <c r="C26" s="1">
        <v>291.15644182477598</v>
      </c>
      <c r="E26" s="1">
        <v>22.068050338708598</v>
      </c>
      <c r="F26" s="1">
        <v>318.70746223293997</v>
      </c>
      <c r="Q26" s="1">
        <v>24.723109583174899</v>
      </c>
      <c r="R26" s="1">
        <v>70.639530448026406</v>
      </c>
    </row>
    <row r="27" spans="2:18" x14ac:dyDescent="0.55000000000000004">
      <c r="B27" s="1">
        <v>-2.5231988871589701</v>
      </c>
      <c r="C27" s="1">
        <v>244.557812749123</v>
      </c>
      <c r="E27" s="1">
        <v>22.222710934980299</v>
      </c>
      <c r="F27" s="1">
        <v>337.41495560626498</v>
      </c>
      <c r="Q27" s="1">
        <v>25.084265246027002</v>
      </c>
      <c r="R27" s="1">
        <v>76.1627884798271</v>
      </c>
    </row>
    <row r="28" spans="2:18" x14ac:dyDescent="0.55000000000000004">
      <c r="B28" s="1">
        <v>-1.4847530519868899</v>
      </c>
      <c r="C28" s="1">
        <v>249.659853565449</v>
      </c>
      <c r="E28" s="1">
        <v>22.686696769430601</v>
      </c>
      <c r="F28" s="1">
        <v>343.19725815130698</v>
      </c>
      <c r="Q28" s="1">
        <v>23.6998352050942</v>
      </c>
      <c r="R28" s="1">
        <v>78.706390913142698</v>
      </c>
    </row>
    <row r="29" spans="2:18" x14ac:dyDescent="0.55000000000000004">
      <c r="B29" s="1">
        <v>-1.0649576931722</v>
      </c>
      <c r="C29" s="1">
        <v>259.52378876355198</v>
      </c>
      <c r="E29" s="1">
        <v>23.283249985152501</v>
      </c>
      <c r="F29" s="1">
        <v>339.79591836734602</v>
      </c>
      <c r="Q29" s="1">
        <v>24.4020835519283</v>
      </c>
      <c r="R29" s="1">
        <v>79.869183828664305</v>
      </c>
    </row>
    <row r="30" spans="2:18" x14ac:dyDescent="0.55000000000000004">
      <c r="B30" s="1">
        <v>-1.8161715051656999</v>
      </c>
      <c r="C30" s="1">
        <v>275.17005764708199</v>
      </c>
      <c r="E30" s="1">
        <v>23.680952128967</v>
      </c>
      <c r="F30" s="1">
        <v>334.69387755102002</v>
      </c>
      <c r="Q30" s="1">
        <v>24.101120499551602</v>
      </c>
      <c r="R30" s="1">
        <v>81.831393130989895</v>
      </c>
    </row>
    <row r="31" spans="2:18" x14ac:dyDescent="0.55000000000000004">
      <c r="B31" s="3"/>
      <c r="E31" s="1">
        <v>24.0344678427814</v>
      </c>
      <c r="F31" s="1">
        <v>346.59862907565298</v>
      </c>
      <c r="Q31" s="1">
        <v>25.3852282984036</v>
      </c>
      <c r="R31" s="1">
        <v>78.415697674418595</v>
      </c>
    </row>
    <row r="32" spans="2:18" x14ac:dyDescent="0.55000000000000004">
      <c r="B32" s="4"/>
      <c r="E32" s="1">
        <v>24.719397964139102</v>
      </c>
      <c r="F32" s="1">
        <v>357.82311887157198</v>
      </c>
      <c r="Q32" s="1">
        <v>25.766450613991001</v>
      </c>
      <c r="R32" s="1">
        <v>85.901158355003105</v>
      </c>
    </row>
    <row r="33" spans="2:18" x14ac:dyDescent="0.55000000000000004">
      <c r="B33" s="5"/>
      <c r="E33" s="1">
        <v>24.365886295960198</v>
      </c>
      <c r="F33" s="1">
        <v>370.06801683075503</v>
      </c>
      <c r="Q33" s="1">
        <v>26.428569329219702</v>
      </c>
      <c r="R33" s="1">
        <v>82.485462898431805</v>
      </c>
    </row>
    <row r="34" spans="2:18" x14ac:dyDescent="0.55000000000000004">
      <c r="B34" s="5"/>
      <c r="E34" s="1">
        <v>22.9739287926092</v>
      </c>
      <c r="F34" s="1">
        <v>368.36734693877497</v>
      </c>
      <c r="Q34" s="1">
        <v>26.127606276843</v>
      </c>
      <c r="R34" s="1">
        <v>77.252904758896904</v>
      </c>
    </row>
    <row r="35" spans="2:18" x14ac:dyDescent="0.55000000000000004">
      <c r="B35" s="5"/>
      <c r="E35" s="1">
        <v>25.713653323675501</v>
      </c>
      <c r="F35" s="1">
        <v>369.38775510203999</v>
      </c>
      <c r="Q35" s="1">
        <v>27.130814002188401</v>
      </c>
      <c r="R35" s="1">
        <v>78.633720930232499</v>
      </c>
    </row>
    <row r="36" spans="2:18" x14ac:dyDescent="0.55000000000000004">
      <c r="B36" s="5"/>
      <c r="E36" s="1">
        <v>26.067164991854501</v>
      </c>
      <c r="F36" s="1">
        <v>373.46938775510199</v>
      </c>
      <c r="Q36" s="1">
        <v>27.411717749560498</v>
      </c>
      <c r="R36" s="1">
        <v>82.558139534883693</v>
      </c>
    </row>
    <row r="37" spans="2:18" x14ac:dyDescent="0.55000000000000004">
      <c r="B37" s="6"/>
      <c r="E37" s="1">
        <v>26.995136660755101</v>
      </c>
      <c r="F37" s="1">
        <v>375.85031937579703</v>
      </c>
      <c r="Q37" s="1">
        <v>26.769658339336399</v>
      </c>
      <c r="R37" s="1">
        <v>87.936044293780597</v>
      </c>
    </row>
    <row r="38" spans="2:18" x14ac:dyDescent="0.55000000000000004">
      <c r="B38" s="5"/>
      <c r="E38" s="1">
        <v>26.4869643963046</v>
      </c>
      <c r="F38" s="1">
        <v>356.46256427375602</v>
      </c>
      <c r="Q38" s="3"/>
    </row>
    <row r="39" spans="2:18" x14ac:dyDescent="0.55000000000000004">
      <c r="B39" s="5"/>
      <c r="E39" s="1">
        <v>25.426425346132401</v>
      </c>
      <c r="F39" s="1">
        <v>323.12924132055099</v>
      </c>
      <c r="Q39" s="4"/>
    </row>
    <row r="40" spans="2:18" x14ac:dyDescent="0.55000000000000004">
      <c r="B40" s="5"/>
      <c r="E40" s="1">
        <v>24.9845327266822</v>
      </c>
      <c r="F40" s="1">
        <v>313.94556785116299</v>
      </c>
      <c r="Q40" s="5"/>
    </row>
    <row r="41" spans="2:18" x14ac:dyDescent="0.55000000000000004">
      <c r="B41" s="5"/>
      <c r="E41" s="1">
        <v>26.597434516940599</v>
      </c>
      <c r="F41" s="1">
        <v>327.21087397361202</v>
      </c>
      <c r="Q41" s="5"/>
    </row>
    <row r="42" spans="2:18" x14ac:dyDescent="0.55000000000000004">
      <c r="E42" s="1">
        <v>27.437033325840801</v>
      </c>
      <c r="F42" s="1">
        <v>315.30612244897901</v>
      </c>
      <c r="Q42" s="5"/>
    </row>
    <row r="43" spans="2:18" x14ac:dyDescent="0.55000000000000004">
      <c r="E43" s="1">
        <v>27.724257257748501</v>
      </c>
      <c r="F43" s="1">
        <v>294.217666314572</v>
      </c>
      <c r="Q43" s="5"/>
    </row>
    <row r="44" spans="2:18" x14ac:dyDescent="0.55000000000000004">
      <c r="E44" s="1"/>
      <c r="F44" s="1"/>
      <c r="Q44" s="6"/>
    </row>
    <row r="45" spans="2:18" x14ac:dyDescent="0.55000000000000004">
      <c r="E45" s="1"/>
      <c r="F45" s="1"/>
      <c r="Q45" s="5"/>
    </row>
    <row r="46" spans="2:18" x14ac:dyDescent="0.55000000000000004">
      <c r="C46">
        <f>AVERAGE(C3:C43)</f>
        <v>257.88385485768617</v>
      </c>
      <c r="F46">
        <f t="shared" ref="F46" si="2">AVERAGE(F3:F43)</f>
        <v>334.42839436889415</v>
      </c>
      <c r="O46">
        <f t="shared" ref="O46:R46" si="3">AVERAGE(O3:O43)</f>
        <v>56.622454593347896</v>
      </c>
      <c r="R46">
        <f t="shared" si="3"/>
        <v>76.405728679162678</v>
      </c>
    </row>
    <row r="47" spans="2:18" x14ac:dyDescent="0.55000000000000004">
      <c r="E47" s="4"/>
      <c r="F47">
        <f>F46/C46</f>
        <v>1.296817881652379</v>
      </c>
      <c r="Q47" s="5"/>
      <c r="R47">
        <f>R46/O46</f>
        <v>1.3493891995303742</v>
      </c>
    </row>
    <row r="48" spans="2:18" x14ac:dyDescent="0.55000000000000004">
      <c r="E48" s="5"/>
      <c r="Q48" s="5"/>
    </row>
    <row r="49" spans="5:5" x14ac:dyDescent="0.55000000000000004">
      <c r="E49" s="5"/>
    </row>
    <row r="50" spans="5:5" x14ac:dyDescent="0.55000000000000004">
      <c r="E50" s="5"/>
    </row>
    <row r="51" spans="5:5" x14ac:dyDescent="0.55000000000000004">
      <c r="E51" s="5"/>
    </row>
    <row r="52" spans="5:5" x14ac:dyDescent="0.55000000000000004">
      <c r="E52" s="6"/>
    </row>
    <row r="53" spans="5:5" x14ac:dyDescent="0.55000000000000004">
      <c r="E53" s="5"/>
    </row>
    <row r="54" spans="5:5" x14ac:dyDescent="0.55000000000000004">
      <c r="E54" s="5"/>
    </row>
    <row r="55" spans="5:5" x14ac:dyDescent="0.55000000000000004">
      <c r="E55" s="5"/>
    </row>
    <row r="56" spans="5:5" x14ac:dyDescent="0.55000000000000004">
      <c r="E56" s="5"/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Nima Mirkhani</dc:creator>
  <cp:lastModifiedBy>Nima Mirkhani</cp:lastModifiedBy>
  <dcterms:created xsi:type="dcterms:W3CDTF">2026-03-26T16:57:57Z</dcterms:created>
  <dcterms:modified xsi:type="dcterms:W3CDTF">2026-09-16T23:23:50Z</dcterms:modified>
</cp:coreProperties>
</file>